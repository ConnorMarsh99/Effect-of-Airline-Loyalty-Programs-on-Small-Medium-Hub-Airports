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ia\Desktop\"/>
    </mc:Choice>
  </mc:AlternateContent>
  <xr:revisionPtr revIDLastSave="0" documentId="13_ncr:1_{0F708D29-5270-4FAB-8976-17E8C13C69F4}" xr6:coauthVersionLast="47" xr6:coauthVersionMax="47" xr10:uidLastSave="{00000000-0000-0000-0000-000000000000}"/>
  <bookViews>
    <workbookView xWindow="33735" yWindow="0" windowWidth="14610" windowHeight="15585" activeTab="1" xr2:uid="{53A161FB-4DE2-45D1-A522-4CABE301FE1A}"/>
  </bookViews>
  <sheets>
    <sheet name="PFC Annual Collection " sheetId="1" r:id="rId1"/>
    <sheet name="Enplaned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H3" i="2" s="1"/>
  <c r="G9" i="2"/>
  <c r="H9" i="2" s="1"/>
  <c r="G11" i="2"/>
  <c r="H11" i="2" s="1"/>
  <c r="G13" i="2"/>
  <c r="H13" i="2" s="1"/>
  <c r="E19" i="2"/>
  <c r="D3" i="2"/>
  <c r="F3" i="2" s="1"/>
  <c r="D4" i="2"/>
  <c r="F4" i="2" s="1"/>
  <c r="G4" i="2" s="1"/>
  <c r="H4" i="2" s="1"/>
  <c r="D5" i="2"/>
  <c r="F5" i="2" s="1"/>
  <c r="G5" i="2" s="1"/>
  <c r="H5" i="2" s="1"/>
  <c r="D6" i="2"/>
  <c r="F6" i="2" s="1"/>
  <c r="G6" i="2" s="1"/>
  <c r="H6" i="2" s="1"/>
  <c r="D7" i="2"/>
  <c r="F7" i="2" s="1"/>
  <c r="G7" i="2" s="1"/>
  <c r="H7" i="2" s="1"/>
  <c r="D8" i="2"/>
  <c r="F8" i="2" s="1"/>
  <c r="G8" i="2" s="1"/>
  <c r="H8" i="2" s="1"/>
  <c r="D9" i="2"/>
  <c r="F9" i="2" s="1"/>
  <c r="D10" i="2"/>
  <c r="F10" i="2" s="1"/>
  <c r="G10" i="2" s="1"/>
  <c r="H10" i="2" s="1"/>
  <c r="D11" i="2"/>
  <c r="F11" i="2" s="1"/>
  <c r="D12" i="2"/>
  <c r="F12" i="2" s="1"/>
  <c r="G12" i="2" s="1"/>
  <c r="H12" i="2" s="1"/>
  <c r="D13" i="2"/>
  <c r="F13" i="2" s="1"/>
  <c r="D14" i="2"/>
  <c r="F14" i="2" s="1"/>
  <c r="G14" i="2" s="1"/>
  <c r="H14" i="2" s="1"/>
  <c r="D15" i="2"/>
  <c r="F15" i="2" s="1"/>
  <c r="G15" i="2" s="1"/>
  <c r="H15" i="2" s="1"/>
  <c r="D16" i="2"/>
  <c r="F16" i="2" s="1"/>
  <c r="G16" i="2" s="1"/>
  <c r="H16" i="2" s="1"/>
  <c r="D2" i="2"/>
  <c r="F2" i="2" s="1"/>
  <c r="G2" i="2" s="1"/>
  <c r="B19" i="2"/>
  <c r="C19" i="2"/>
  <c r="B21" i="1"/>
  <c r="G19" i="2" l="1"/>
  <c r="H2" i="2"/>
  <c r="F19" i="2"/>
  <c r="D19" i="2"/>
</calcChain>
</file>

<file path=xl/sharedStrings.xml><?xml version="1.0" encoding="utf-8"?>
<sst xmlns="http://schemas.openxmlformats.org/spreadsheetml/2006/main" count="19" uniqueCount="15">
  <si>
    <t>Year</t>
  </si>
  <si>
    <t>Collection Amount</t>
  </si>
  <si>
    <t>Total Collections</t>
  </si>
  <si>
    <t>*Does not include 4th qtr 2025!</t>
  </si>
  <si>
    <t>Notes</t>
  </si>
  <si>
    <t>Non-Revenue Passengers</t>
  </si>
  <si>
    <t>Total Revenue Passengers</t>
  </si>
  <si>
    <t>Total Enplaned Passengers</t>
  </si>
  <si>
    <t>Ratio of Non-Revenue Passangers</t>
  </si>
  <si>
    <t>PFC Annual Collection</t>
  </si>
  <si>
    <t>Increase (2010-2024)</t>
  </si>
  <si>
    <t xml:space="preserve">Change in ratio (decrease) </t>
  </si>
  <si>
    <t>Non-Rev PFC Loss</t>
  </si>
  <si>
    <t>PFC + Non-Revenue PFC Loss</t>
  </si>
  <si>
    <t>Total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</si>
</sst>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&quot;$&quot;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43" fontId="0" fillId="0" borderId="1" xfId="1" applyFont="1" applyBorder="1"/>
    <xf numFmtId="3" fontId="0" fillId="0" borderId="0" xfId="0" applyNumberFormat="1"/>
    <xf numFmtId="44" fontId="0" fillId="0" borderId="0" xfId="2" applyFont="1" applyBorder="1"/>
    <xf numFmtId="9" fontId="0" fillId="0" borderId="0" xfId="3" applyFont="1"/>
    <xf numFmtId="164" fontId="0" fillId="0" borderId="0" xfId="3" applyNumberFormat="1" applyFont="1"/>
    <xf numFmtId="4" fontId="0" fillId="0" borderId="0" xfId="0" applyNumberFormat="1"/>
    <xf numFmtId="165" fontId="0" fillId="0" borderId="0" xfId="3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7">
    <dxf>
      <numFmt numFmtId="4" formatCode="#,##0.00"/>
    </dxf>
    <dxf>
      <numFmt numFmtId="4" formatCode="#,##0.00"/>
    </dxf>
    <dxf>
      <numFmt numFmtId="164" formatCode="0.0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'Enplaned Data'!$B$1</c:f>
              <c:strCache>
                <c:ptCount val="1"/>
                <c:pt idx="0">
                  <c:v>Total Revenue Passengers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"/>
            <c:dispRSqr val="1"/>
            <c:dispEq val="0"/>
            <c:trendlineLbl>
              <c:layout>
                <c:manualLayout>
                  <c:x val="-5.0286423084820622E-4"/>
                  <c:y val="-6.333041703120442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'Enplaned Data'!$A$2:$A$19</c:f>
              <c:numCache>
                <c:formatCode>General</c:formatCode>
                <c:ptCount val="1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xVal>
          <c:yVal>
            <c:numRef>
              <c:f>'Enplaned Data'!$B$2:$B$19</c:f>
              <c:numCache>
                <c:formatCode>#,##0</c:formatCode>
                <c:ptCount val="18"/>
                <c:pt idx="0">
                  <c:v>368737</c:v>
                </c:pt>
                <c:pt idx="1">
                  <c:v>392613</c:v>
                </c:pt>
                <c:pt idx="2">
                  <c:v>406788</c:v>
                </c:pt>
                <c:pt idx="3">
                  <c:v>433707</c:v>
                </c:pt>
                <c:pt idx="4">
                  <c:v>439937</c:v>
                </c:pt>
                <c:pt idx="5">
                  <c:v>448140</c:v>
                </c:pt>
                <c:pt idx="6">
                  <c:v>483955</c:v>
                </c:pt>
                <c:pt idx="7">
                  <c:v>527537</c:v>
                </c:pt>
                <c:pt idx="8">
                  <c:v>571148</c:v>
                </c:pt>
                <c:pt idx="9">
                  <c:v>596963</c:v>
                </c:pt>
                <c:pt idx="10">
                  <c:v>267548</c:v>
                </c:pt>
                <c:pt idx="11">
                  <c:v>565087</c:v>
                </c:pt>
                <c:pt idx="12">
                  <c:v>776436</c:v>
                </c:pt>
                <c:pt idx="13">
                  <c:v>846136</c:v>
                </c:pt>
                <c:pt idx="14">
                  <c:v>824285</c:v>
                </c:pt>
                <c:pt idx="16" formatCode="General">
                  <c:v>0</c:v>
                </c:pt>
                <c:pt idx="17" formatCode="0%">
                  <c:v>2.2354279608501453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72-405D-A78E-CA48670EF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0130447"/>
        <c:axId val="1140130927"/>
      </c:scatterChart>
      <c:valAx>
        <c:axId val="114013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130927"/>
        <c:crosses val="autoZero"/>
        <c:crossBetween val="midCat"/>
      </c:valAx>
      <c:valAx>
        <c:axId val="114013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130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'Enplaned Data'!$C$1</c:f>
              <c:strCache>
                <c:ptCount val="1"/>
                <c:pt idx="0">
                  <c:v>Non-Revenue Passengers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"/>
            <c:dispRSqr val="1"/>
            <c:dispEq val="0"/>
            <c:trendlineLbl>
              <c:layout>
                <c:manualLayout>
                  <c:x val="2.440756652101723E-3"/>
                  <c:y val="-7.848156182212581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'Enplaned Data'!$A$2:$A$19</c:f>
              <c:numCache>
                <c:formatCode>General</c:formatCode>
                <c:ptCount val="1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xVal>
          <c:yVal>
            <c:numRef>
              <c:f>'Enplaned Data'!$C$2:$C$19</c:f>
              <c:numCache>
                <c:formatCode>#,##0</c:formatCode>
                <c:ptCount val="18"/>
                <c:pt idx="0">
                  <c:v>9636</c:v>
                </c:pt>
                <c:pt idx="1">
                  <c:v>8465</c:v>
                </c:pt>
                <c:pt idx="2">
                  <c:v>8555</c:v>
                </c:pt>
                <c:pt idx="3">
                  <c:v>8357</c:v>
                </c:pt>
                <c:pt idx="4">
                  <c:v>9100</c:v>
                </c:pt>
                <c:pt idx="5">
                  <c:v>8763</c:v>
                </c:pt>
                <c:pt idx="6">
                  <c:v>10506</c:v>
                </c:pt>
                <c:pt idx="7">
                  <c:v>14054</c:v>
                </c:pt>
                <c:pt idx="8">
                  <c:v>14492</c:v>
                </c:pt>
                <c:pt idx="9">
                  <c:v>13411</c:v>
                </c:pt>
                <c:pt idx="10">
                  <c:v>7355</c:v>
                </c:pt>
                <c:pt idx="11">
                  <c:v>9717</c:v>
                </c:pt>
                <c:pt idx="12">
                  <c:v>12468</c:v>
                </c:pt>
                <c:pt idx="13">
                  <c:v>13278</c:v>
                </c:pt>
                <c:pt idx="14">
                  <c:v>14360</c:v>
                </c:pt>
                <c:pt idx="16" formatCode="General">
                  <c:v>0</c:v>
                </c:pt>
                <c:pt idx="17" formatCode="0%">
                  <c:v>1.4902449149024493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D4-4AEF-A2B8-694A6AA6D7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930998752"/>
        <c:axId val="930997792"/>
      </c:scatterChart>
      <c:valAx>
        <c:axId val="93099875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997792"/>
        <c:crosses val="autoZero"/>
        <c:crossBetween val="midCat"/>
      </c:valAx>
      <c:valAx>
        <c:axId val="93099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99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19</xdr:row>
      <xdr:rowOff>168275</xdr:rowOff>
    </xdr:from>
    <xdr:to>
      <xdr:col>4</xdr:col>
      <xdr:colOff>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EC1923-215E-F047-8642-52201BBB5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1866899</xdr:colOff>
      <xdr:row>19</xdr:row>
      <xdr:rowOff>168275</xdr:rowOff>
    </xdr:from>
    <xdr:to>
      <xdr:col>8</xdr:col>
      <xdr:colOff>9525</xdr:colOff>
      <xdr:row>35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9C9C69-D7C8-E774-48A0-4E25DBE54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2098E1-CD53-4D49-BD27-1ED9E868D451}" name="Table1" displayName="Table1" ref="A1:H16" totalsRowShown="0">
  <autoFilter ref="A1:H16" xr:uid="{902098E1-CD53-4D49-BD27-1ED9E868D451}"/>
  <tableColumns count="8">
    <tableColumn id="1" xr3:uid="{49D86751-1CBC-4E3B-BCF0-7B28CAE81628}" name="Year"/>
    <tableColumn id="2" xr3:uid="{1958FFF2-F6BF-40A9-9802-34FC50FAFD3F}" name="Total Revenue Passengers" dataDxfId="6"/>
    <tableColumn id="3" xr3:uid="{F896A1A6-8AB4-47F1-A625-CAF4B402933C}" name="Non-Revenue Passengers" dataDxfId="5"/>
    <tableColumn id="4" xr3:uid="{76DD95C8-B8CA-4838-AAE1-622F5A9CD343}" name="Total Enplaned Passengers" dataDxfId="4">
      <calculatedColumnFormula>B2+C2</calculatedColumnFormula>
    </tableColumn>
    <tableColumn id="5" xr3:uid="{B5553348-8CE0-4BDB-86DF-7D8BD38A1D16}" name="PFC Annual Collection" dataDxfId="3" dataCellStyle="Currency"/>
    <tableColumn id="6" xr3:uid="{8AF74BA6-229C-4177-BE57-59BC68E9B896}" name="Ratio of Non-Revenue Passangers" dataDxfId="2" dataCellStyle="Percent">
      <calculatedColumnFormula>C2/D2</calculatedColumnFormula>
    </tableColumn>
    <tableColumn id="7" xr3:uid="{88972EA8-D457-4256-AAB1-EB202F70B93D}" name="Non-Rev PFC Loss" dataDxfId="1">
      <calculatedColumnFormula>Table1[[#This Row],[PFC Annual Collection]]*Table1[[#This Row],[Ratio of Non-Revenue Passangers]]</calculatedColumnFormula>
    </tableColumn>
    <tableColumn id="8" xr3:uid="{73424D7C-EF33-4761-A0EA-69BD274D5D8D}" name="PFC + Non-Revenue PFC Loss" dataDxfId="0">
      <calculatedColumnFormula>Table1[[#This Row],[PFC Annual Collection]]+Table1[[#This Row],[Non-Rev PFC Loss]]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E682-DF88-4B83-8EA4-15C2FEE21E8C}">
  <dimension ref="A1:C21"/>
  <sheetViews>
    <sheetView workbookViewId="0">
      <selection activeCell="D31" sqref="D31"/>
    </sheetView>
  </sheetViews>
  <sheetFormatPr defaultRowHeight="14.5" x14ac:dyDescent="0.35"/>
  <cols>
    <col min="1" max="1" width="15.81640625" bestFit="1" customWidth="1"/>
    <col min="2" max="2" width="17.453125" bestFit="1" customWidth="1"/>
    <col min="3" max="3" width="28.453125" bestFit="1" customWidth="1"/>
  </cols>
  <sheetData>
    <row r="1" spans="1:3" x14ac:dyDescent="0.35">
      <c r="A1" s="1" t="s">
        <v>0</v>
      </c>
      <c r="B1" s="1" t="s">
        <v>1</v>
      </c>
      <c r="C1" s="1" t="s">
        <v>4</v>
      </c>
    </row>
    <row r="2" spans="1:3" x14ac:dyDescent="0.35">
      <c r="A2" s="1">
        <v>2007</v>
      </c>
      <c r="B2" s="2">
        <v>1511149.84</v>
      </c>
      <c r="C2" s="1"/>
    </row>
    <row r="3" spans="1:3" x14ac:dyDescent="0.35">
      <c r="A3" s="1">
        <v>2008</v>
      </c>
      <c r="B3" s="2">
        <v>1412647.67</v>
      </c>
      <c r="C3" s="1"/>
    </row>
    <row r="4" spans="1:3" x14ac:dyDescent="0.35">
      <c r="A4" s="1">
        <v>2009</v>
      </c>
      <c r="B4" s="2">
        <v>1254250.1499999999</v>
      </c>
      <c r="C4" s="1"/>
    </row>
    <row r="5" spans="1:3" x14ac:dyDescent="0.35">
      <c r="A5" s="1">
        <v>2010</v>
      </c>
      <c r="B5" s="2">
        <v>1215676.92</v>
      </c>
      <c r="C5" s="1"/>
    </row>
    <row r="6" spans="1:3" x14ac:dyDescent="0.35">
      <c r="A6" s="1">
        <v>2011</v>
      </c>
      <c r="B6" s="2">
        <v>1736142.5</v>
      </c>
      <c r="C6" s="1"/>
    </row>
    <row r="7" spans="1:3" x14ac:dyDescent="0.35">
      <c r="A7" s="1">
        <v>2012</v>
      </c>
      <c r="B7" s="2">
        <v>1588465</v>
      </c>
      <c r="C7" s="1"/>
    </row>
    <row r="8" spans="1:3" x14ac:dyDescent="0.35">
      <c r="A8" s="1">
        <v>2013</v>
      </c>
      <c r="B8" s="2">
        <v>1711116.49</v>
      </c>
      <c r="C8" s="1"/>
    </row>
    <row r="9" spans="1:3" x14ac:dyDescent="0.35">
      <c r="A9" s="1">
        <v>2014</v>
      </c>
      <c r="B9" s="2">
        <v>1754033.17</v>
      </c>
      <c r="C9" s="1"/>
    </row>
    <row r="10" spans="1:3" x14ac:dyDescent="0.35">
      <c r="A10" s="1">
        <v>2015</v>
      </c>
      <c r="B10" s="2">
        <v>1865026</v>
      </c>
      <c r="C10" s="1"/>
    </row>
    <row r="11" spans="1:3" x14ac:dyDescent="0.35">
      <c r="A11" s="1">
        <v>2016</v>
      </c>
      <c r="B11" s="2">
        <v>1853579.26</v>
      </c>
      <c r="C11" s="1"/>
    </row>
    <row r="12" spans="1:3" x14ac:dyDescent="0.35">
      <c r="A12" s="1">
        <v>2017</v>
      </c>
      <c r="B12" s="2">
        <v>2100290.23</v>
      </c>
      <c r="C12" s="1"/>
    </row>
    <row r="13" spans="1:3" x14ac:dyDescent="0.35">
      <c r="A13" s="1">
        <v>2018</v>
      </c>
      <c r="B13" s="2">
        <v>2289521.31</v>
      </c>
      <c r="C13" s="1"/>
    </row>
    <row r="14" spans="1:3" x14ac:dyDescent="0.35">
      <c r="A14" s="1">
        <v>2019</v>
      </c>
      <c r="B14" s="2">
        <v>2369183.02</v>
      </c>
      <c r="C14" s="1"/>
    </row>
    <row r="15" spans="1:3" x14ac:dyDescent="0.35">
      <c r="A15" s="1">
        <v>2020</v>
      </c>
      <c r="B15" s="2">
        <v>1316249.25</v>
      </c>
      <c r="C15" s="1"/>
    </row>
    <row r="16" spans="1:3" x14ac:dyDescent="0.35">
      <c r="A16" s="1">
        <v>2021</v>
      </c>
      <c r="B16" s="2">
        <v>2248833.27</v>
      </c>
      <c r="C16" s="1"/>
    </row>
    <row r="17" spans="1:3" x14ac:dyDescent="0.35">
      <c r="A17" s="1">
        <v>2022</v>
      </c>
      <c r="B17" s="2">
        <v>3130046.39</v>
      </c>
      <c r="C17" s="1"/>
    </row>
    <row r="18" spans="1:3" x14ac:dyDescent="0.35">
      <c r="A18" s="1">
        <v>2023</v>
      </c>
      <c r="B18" s="2">
        <v>3301459</v>
      </c>
      <c r="C18" s="1"/>
    </row>
    <row r="19" spans="1:3" x14ac:dyDescent="0.35">
      <c r="A19" s="1">
        <v>2024</v>
      </c>
      <c r="B19" s="2">
        <v>3235485.29</v>
      </c>
      <c r="C19" s="1"/>
    </row>
    <row r="20" spans="1:3" x14ac:dyDescent="0.35">
      <c r="A20" s="1">
        <v>2025</v>
      </c>
      <c r="B20" s="2">
        <v>2442631.04</v>
      </c>
      <c r="C20" s="1" t="s">
        <v>3</v>
      </c>
    </row>
    <row r="21" spans="1:3" x14ac:dyDescent="0.35">
      <c r="A21" s="1" t="s">
        <v>2</v>
      </c>
      <c r="B21" s="2">
        <f>SUM(B2:B20)</f>
        <v>38335785.799999997</v>
      </c>
      <c r="C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BEE88-F441-4127-B2EA-FF5A4CB3DA09}">
  <dimension ref="A1:H19"/>
  <sheetViews>
    <sheetView tabSelected="1" topLeftCell="B1" workbookViewId="0">
      <selection activeCell="K20" sqref="K20"/>
    </sheetView>
  </sheetViews>
  <sheetFormatPr defaultRowHeight="14.5" x14ac:dyDescent="0.35"/>
  <cols>
    <col min="1" max="1" width="7.08984375" bestFit="1" customWidth="1"/>
    <col min="2" max="2" width="26.1796875" bestFit="1" customWidth="1"/>
    <col min="3" max="3" width="25.7265625" bestFit="1" customWidth="1"/>
    <col min="4" max="4" width="26.7265625" bestFit="1" customWidth="1"/>
    <col min="5" max="5" width="22.7265625" bestFit="1" customWidth="1"/>
    <col min="6" max="6" width="33" bestFit="1" customWidth="1"/>
    <col min="7" max="7" width="19.1796875" bestFit="1" customWidth="1"/>
    <col min="8" max="8" width="29" bestFit="1" customWidth="1"/>
  </cols>
  <sheetData>
    <row r="1" spans="1:8" x14ac:dyDescent="0.35">
      <c r="A1" t="s">
        <v>0</v>
      </c>
      <c r="B1" t="s">
        <v>6</v>
      </c>
      <c r="C1" t="s">
        <v>5</v>
      </c>
      <c r="D1" t="s">
        <v>7</v>
      </c>
      <c r="E1" t="s">
        <v>9</v>
      </c>
      <c r="F1" t="s">
        <v>8</v>
      </c>
      <c r="G1" t="s">
        <v>12</v>
      </c>
      <c r="H1" t="s">
        <v>13</v>
      </c>
    </row>
    <row r="2" spans="1:8" x14ac:dyDescent="0.35">
      <c r="A2">
        <v>2010</v>
      </c>
      <c r="B2" s="3">
        <v>368737</v>
      </c>
      <c r="C2" s="3">
        <v>9636</v>
      </c>
      <c r="D2" s="3">
        <f>B2+C2</f>
        <v>378373</v>
      </c>
      <c r="E2" s="4">
        <v>1215676.92</v>
      </c>
      <c r="F2" s="6">
        <f t="shared" ref="F2:F16" si="0">C2/D2</f>
        <v>2.5466933422839368E-2</v>
      </c>
      <c r="G2" s="7">
        <f>Table1[[#This Row],[PFC Annual Collection]]*Table1[[#This Row],[Ratio of Non-Revenue Passangers]]</f>
        <v>30959.563185322419</v>
      </c>
      <c r="H2" s="7">
        <f>Table1[[#This Row],[PFC Annual Collection]]+Table1[[#This Row],[Non-Rev PFC Loss]]</f>
        <v>1246636.4831853223</v>
      </c>
    </row>
    <row r="3" spans="1:8" x14ac:dyDescent="0.35">
      <c r="A3">
        <v>2011</v>
      </c>
      <c r="B3" s="3">
        <v>392613</v>
      </c>
      <c r="C3" s="3">
        <v>8465</v>
      </c>
      <c r="D3" s="3">
        <f t="shared" ref="D3:D16" si="1">B3+C3</f>
        <v>401078</v>
      </c>
      <c r="E3" s="4">
        <v>1736142.5</v>
      </c>
      <c r="F3" s="6">
        <f t="shared" si="0"/>
        <v>2.1105620353148266E-2</v>
      </c>
      <c r="G3" s="7">
        <f>Table1[[#This Row],[PFC Annual Collection]]*Table1[[#This Row],[Ratio of Non-Revenue Passangers]]</f>
        <v>36642.364483965714</v>
      </c>
      <c r="H3" s="7">
        <f>Table1[[#This Row],[PFC Annual Collection]]+Table1[[#This Row],[Non-Rev PFC Loss]]</f>
        <v>1772784.8644839658</v>
      </c>
    </row>
    <row r="4" spans="1:8" x14ac:dyDescent="0.35">
      <c r="A4">
        <v>2012</v>
      </c>
      <c r="B4" s="3">
        <v>406788</v>
      </c>
      <c r="C4" s="3">
        <v>8555</v>
      </c>
      <c r="D4" s="3">
        <f t="shared" si="1"/>
        <v>415343</v>
      </c>
      <c r="E4" s="4">
        <v>1588465</v>
      </c>
      <c r="F4" s="6">
        <f t="shared" si="0"/>
        <v>2.0597433928102798E-2</v>
      </c>
      <c r="G4" s="7">
        <f>Table1[[#This Row],[PFC Annual Collection]]*Table1[[#This Row],[Ratio of Non-Revenue Passangers]]</f>
        <v>32718.302884603811</v>
      </c>
      <c r="H4" s="7">
        <f>Table1[[#This Row],[PFC Annual Collection]]+Table1[[#This Row],[Non-Rev PFC Loss]]</f>
        <v>1621183.3028846039</v>
      </c>
    </row>
    <row r="5" spans="1:8" x14ac:dyDescent="0.35">
      <c r="A5">
        <v>2013</v>
      </c>
      <c r="B5" s="3">
        <v>433707</v>
      </c>
      <c r="C5" s="3">
        <v>8357</v>
      </c>
      <c r="D5" s="3">
        <f t="shared" si="1"/>
        <v>442064</v>
      </c>
      <c r="E5" s="4">
        <v>1711116.49</v>
      </c>
      <c r="F5" s="6">
        <f t="shared" si="0"/>
        <v>1.8904502515472873E-2</v>
      </c>
      <c r="G5" s="7">
        <f>Table1[[#This Row],[PFC Annual Collection]]*Table1[[#This Row],[Ratio of Non-Revenue Passangers]]</f>
        <v>32347.805989472112</v>
      </c>
      <c r="H5" s="7">
        <f>Table1[[#This Row],[PFC Annual Collection]]+Table1[[#This Row],[Non-Rev PFC Loss]]</f>
        <v>1743464.2959894722</v>
      </c>
    </row>
    <row r="6" spans="1:8" x14ac:dyDescent="0.35">
      <c r="A6">
        <v>2014</v>
      </c>
      <c r="B6" s="3">
        <v>439937</v>
      </c>
      <c r="C6" s="3">
        <v>9100</v>
      </c>
      <c r="D6" s="3">
        <f t="shared" si="1"/>
        <v>449037</v>
      </c>
      <c r="E6" s="4">
        <v>1754033.17</v>
      </c>
      <c r="F6" s="6">
        <f t="shared" si="0"/>
        <v>2.0265590586076427E-2</v>
      </c>
      <c r="G6" s="7">
        <f>Table1[[#This Row],[PFC Annual Collection]]*Table1[[#This Row],[Ratio of Non-Revenue Passangers]]</f>
        <v>35546.518097617794</v>
      </c>
      <c r="H6" s="7">
        <f>Table1[[#This Row],[PFC Annual Collection]]+Table1[[#This Row],[Non-Rev PFC Loss]]</f>
        <v>1789579.6880976178</v>
      </c>
    </row>
    <row r="7" spans="1:8" x14ac:dyDescent="0.35">
      <c r="A7">
        <v>2015</v>
      </c>
      <c r="B7" s="3">
        <v>448140</v>
      </c>
      <c r="C7" s="3">
        <v>8763</v>
      </c>
      <c r="D7" s="3">
        <f t="shared" si="1"/>
        <v>456903</v>
      </c>
      <c r="E7" s="4">
        <v>1865026</v>
      </c>
      <c r="F7" s="6">
        <f t="shared" si="0"/>
        <v>1.9179125547435671E-2</v>
      </c>
      <c r="G7" s="7">
        <f>Table1[[#This Row],[PFC Annual Collection]]*Table1[[#This Row],[Ratio of Non-Revenue Passangers]]</f>
        <v>35769.567803231759</v>
      </c>
      <c r="H7" s="7">
        <f>Table1[[#This Row],[PFC Annual Collection]]+Table1[[#This Row],[Non-Rev PFC Loss]]</f>
        <v>1900795.5678032318</v>
      </c>
    </row>
    <row r="8" spans="1:8" x14ac:dyDescent="0.35">
      <c r="A8">
        <v>2016</v>
      </c>
      <c r="B8" s="3">
        <v>483955</v>
      </c>
      <c r="C8" s="3">
        <v>10506</v>
      </c>
      <c r="D8" s="3">
        <f t="shared" si="1"/>
        <v>494461</v>
      </c>
      <c r="E8" s="4">
        <v>1853579.26</v>
      </c>
      <c r="F8" s="6">
        <f t="shared" si="0"/>
        <v>2.1247378458563972E-2</v>
      </c>
      <c r="G8" s="7">
        <f>Table1[[#This Row],[PFC Annual Collection]]*Table1[[#This Row],[Ratio of Non-Revenue Passangers]]</f>
        <v>39383.700040164949</v>
      </c>
      <c r="H8" s="7">
        <f>Table1[[#This Row],[PFC Annual Collection]]+Table1[[#This Row],[Non-Rev PFC Loss]]</f>
        <v>1892962.9600401649</v>
      </c>
    </row>
    <row r="9" spans="1:8" x14ac:dyDescent="0.35">
      <c r="A9">
        <v>2017</v>
      </c>
      <c r="B9" s="3">
        <v>527537</v>
      </c>
      <c r="C9" s="3">
        <v>14054</v>
      </c>
      <c r="D9" s="3">
        <f t="shared" si="1"/>
        <v>541591</v>
      </c>
      <c r="E9" s="4">
        <v>2100290.23</v>
      </c>
      <c r="F9" s="6">
        <f t="shared" si="0"/>
        <v>2.5949471095346857E-2</v>
      </c>
      <c r="G9" s="7">
        <f>Table1[[#This Row],[PFC Annual Collection]]*Table1[[#This Row],[Ratio of Non-Revenue Passangers]]</f>
        <v>54501.420615224401</v>
      </c>
      <c r="H9" s="7">
        <f>Table1[[#This Row],[PFC Annual Collection]]+Table1[[#This Row],[Non-Rev PFC Loss]]</f>
        <v>2154791.6506152246</v>
      </c>
    </row>
    <row r="10" spans="1:8" x14ac:dyDescent="0.35">
      <c r="A10">
        <v>2018</v>
      </c>
      <c r="B10" s="3">
        <v>571148</v>
      </c>
      <c r="C10" s="3">
        <v>14492</v>
      </c>
      <c r="D10" s="3">
        <f t="shared" si="1"/>
        <v>585640</v>
      </c>
      <c r="E10" s="4">
        <v>2289521.31</v>
      </c>
      <c r="F10" s="6">
        <f t="shared" si="0"/>
        <v>2.4745577487876511E-2</v>
      </c>
      <c r="G10" s="7">
        <f>Table1[[#This Row],[PFC Annual Collection]]*Table1[[#This Row],[Ratio of Non-Revenue Passangers]]</f>
        <v>56655.526986749537</v>
      </c>
      <c r="H10" s="7">
        <f>Table1[[#This Row],[PFC Annual Collection]]+Table1[[#This Row],[Non-Rev PFC Loss]]</f>
        <v>2346176.8369867494</v>
      </c>
    </row>
    <row r="11" spans="1:8" x14ac:dyDescent="0.35">
      <c r="A11">
        <v>2019</v>
      </c>
      <c r="B11" s="3">
        <v>596963</v>
      </c>
      <c r="C11" s="3">
        <v>13411</v>
      </c>
      <c r="D11" s="3">
        <f t="shared" si="1"/>
        <v>610374</v>
      </c>
      <c r="E11" s="4">
        <v>2369183.02</v>
      </c>
      <c r="F11" s="6">
        <f t="shared" si="0"/>
        <v>2.1971774682407835E-2</v>
      </c>
      <c r="G11" s="7">
        <f>Table1[[#This Row],[PFC Annual Collection]]*Table1[[#This Row],[Ratio of Non-Revenue Passangers]]</f>
        <v>52055.155496826534</v>
      </c>
      <c r="H11" s="7">
        <f>Table1[[#This Row],[PFC Annual Collection]]+Table1[[#This Row],[Non-Rev PFC Loss]]</f>
        <v>2421238.1754968264</v>
      </c>
    </row>
    <row r="12" spans="1:8" x14ac:dyDescent="0.35">
      <c r="A12">
        <v>2020</v>
      </c>
      <c r="B12" s="3">
        <v>267548</v>
      </c>
      <c r="C12" s="3">
        <v>7355</v>
      </c>
      <c r="D12" s="3">
        <f t="shared" si="1"/>
        <v>274903</v>
      </c>
      <c r="E12" s="4">
        <v>1316249.25</v>
      </c>
      <c r="F12" s="6">
        <f t="shared" si="0"/>
        <v>2.6754891725444974E-2</v>
      </c>
      <c r="G12" s="7">
        <f>Table1[[#This Row],[PFC Annual Collection]]*Table1[[#This Row],[Ratio of Non-Revenue Passangers]]</f>
        <v>35216.106167448153</v>
      </c>
      <c r="H12" s="7">
        <f>Table1[[#This Row],[PFC Annual Collection]]+Table1[[#This Row],[Non-Rev PFC Loss]]</f>
        <v>1351465.3561674482</v>
      </c>
    </row>
    <row r="13" spans="1:8" x14ac:dyDescent="0.35">
      <c r="A13">
        <v>2021</v>
      </c>
      <c r="B13" s="3">
        <v>565087</v>
      </c>
      <c r="C13" s="3">
        <v>9717</v>
      </c>
      <c r="D13" s="3">
        <f t="shared" si="1"/>
        <v>574804</v>
      </c>
      <c r="E13" s="4">
        <v>2248833.27</v>
      </c>
      <c r="F13" s="6">
        <f t="shared" si="0"/>
        <v>1.6904892798240791E-2</v>
      </c>
      <c r="G13" s="7">
        <f>Table1[[#This Row],[PFC Annual Collection]]*Table1[[#This Row],[Ratio of Non-Revenue Passangers]]</f>
        <v>38016.285350467289</v>
      </c>
      <c r="H13" s="7">
        <f>Table1[[#This Row],[PFC Annual Collection]]+Table1[[#This Row],[Non-Rev PFC Loss]]</f>
        <v>2286849.5553504671</v>
      </c>
    </row>
    <row r="14" spans="1:8" x14ac:dyDescent="0.35">
      <c r="A14">
        <v>2022</v>
      </c>
      <c r="B14" s="3">
        <v>776436</v>
      </c>
      <c r="C14" s="3">
        <v>12468</v>
      </c>
      <c r="D14" s="3">
        <f t="shared" si="1"/>
        <v>788904</v>
      </c>
      <c r="E14" s="4">
        <v>3130046.39</v>
      </c>
      <c r="F14" s="6">
        <f t="shared" si="0"/>
        <v>1.5804204313832861E-2</v>
      </c>
      <c r="G14" s="7">
        <f>Table1[[#This Row],[PFC Annual Collection]]*Table1[[#This Row],[Ratio of Non-Revenue Passangers]]</f>
        <v>49467.892659334975</v>
      </c>
      <c r="H14" s="7">
        <f>Table1[[#This Row],[PFC Annual Collection]]+Table1[[#This Row],[Non-Rev PFC Loss]]</f>
        <v>3179514.2826593351</v>
      </c>
    </row>
    <row r="15" spans="1:8" x14ac:dyDescent="0.35">
      <c r="A15">
        <v>2023</v>
      </c>
      <c r="B15" s="3">
        <v>846136</v>
      </c>
      <c r="C15" s="3">
        <v>13278</v>
      </c>
      <c r="D15" s="3">
        <f t="shared" si="1"/>
        <v>859414</v>
      </c>
      <c r="E15" s="4">
        <v>3301459</v>
      </c>
      <c r="F15" s="6">
        <f t="shared" si="0"/>
        <v>1.5450062484437069E-2</v>
      </c>
      <c r="G15" s="7">
        <f>Table1[[#This Row],[PFC Annual Collection]]*Table1[[#This Row],[Ratio of Non-Revenue Passangers]]</f>
        <v>51007.747839807125</v>
      </c>
      <c r="H15" s="7">
        <f>Table1[[#This Row],[PFC Annual Collection]]+Table1[[#This Row],[Non-Rev PFC Loss]]</f>
        <v>3352466.7478398071</v>
      </c>
    </row>
    <row r="16" spans="1:8" x14ac:dyDescent="0.35">
      <c r="A16">
        <v>2024</v>
      </c>
      <c r="B16" s="3">
        <v>824285</v>
      </c>
      <c r="C16" s="3">
        <v>14360</v>
      </c>
      <c r="D16" s="3">
        <f t="shared" si="1"/>
        <v>838645</v>
      </c>
      <c r="E16" s="4">
        <v>3235485.29</v>
      </c>
      <c r="F16" s="6">
        <f t="shared" si="0"/>
        <v>1.7122858897388047E-2</v>
      </c>
      <c r="G16" s="7">
        <f>Table1[[#This Row],[PFC Annual Collection]]*Table1[[#This Row],[Ratio of Non-Revenue Passangers]]</f>
        <v>55400.758085244648</v>
      </c>
      <c r="H16" s="7">
        <f>Table1[[#This Row],[PFC Annual Collection]]+Table1[[#This Row],[Non-Rev PFC Loss]]</f>
        <v>3290886.0480852448</v>
      </c>
    </row>
    <row r="17" spans="2:7" x14ac:dyDescent="0.35">
      <c r="D17" s="3"/>
      <c r="E17" s="4"/>
    </row>
    <row r="18" spans="2:7" x14ac:dyDescent="0.35">
      <c r="B18" t="s">
        <v>10</v>
      </c>
      <c r="C18" t="s">
        <v>10</v>
      </c>
      <c r="D18" t="s">
        <v>10</v>
      </c>
      <c r="E18" t="s">
        <v>10</v>
      </c>
      <c r="F18" t="s">
        <v>11</v>
      </c>
      <c r="G18" t="s">
        <v>14</v>
      </c>
    </row>
    <row r="19" spans="2:7" x14ac:dyDescent="0.35">
      <c r="B19" s="5">
        <f>B16/B2</f>
        <v>2.2354279608501453</v>
      </c>
      <c r="C19" s="5">
        <f>C16/C2</f>
        <v>1.4902449149024493</v>
      </c>
      <c r="D19" s="5">
        <f>D16/D2</f>
        <v>2.2164504338311666</v>
      </c>
      <c r="E19" s="5">
        <f>E16/E2</f>
        <v>2.6614680568254929</v>
      </c>
      <c r="F19" s="5">
        <f>F16/F2</f>
        <v>0.67235652652359978</v>
      </c>
      <c r="G19" s="8">
        <f>SUM(G2:G16)</f>
        <v>635688.71568548132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PFC Annual Collection </vt:lpstr>
      <vt:lpstr>Enplaned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PICOTTE Stephanie B</dc:creator>
  <cp:lastModifiedBy>Connor Marsh</cp:lastModifiedBy>
  <dcterms:created xsi:type="dcterms:W3CDTF">2025-12-23T17:24:45Z</dcterms:created>
  <dcterms:modified xsi:type="dcterms:W3CDTF">2025-12-29T17:09:48Z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